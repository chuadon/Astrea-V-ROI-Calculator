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9095" windowHeight="8295"/>
  </bookViews>
  <sheets>
    <sheet name="Main" sheetId="1" r:id="rId1"/>
  </sheets>
  <calcPr calcId="145621"/>
</workbook>
</file>

<file path=xl/calcChain.xml><?xml version="1.0" encoding="utf-8"?>
<calcChain xmlns="http://schemas.openxmlformats.org/spreadsheetml/2006/main">
  <c r="D2" i="1" l="1"/>
  <c r="D3" i="1" s="1"/>
  <c r="D4" i="1" s="1"/>
  <c r="D5" i="1" s="1"/>
  <c r="D6" i="1" s="1"/>
  <c r="D7" i="1" s="1"/>
  <c r="D8" i="1" s="1"/>
  <c r="D9" i="1" s="1"/>
  <c r="D10" i="1" s="1"/>
  <c r="D11" i="1" s="1"/>
  <c r="D12" i="1" s="1"/>
  <c r="C15" i="1" l="1"/>
  <c r="D15" i="1" s="1"/>
  <c r="E15" i="1" s="1"/>
  <c r="B15" i="1"/>
  <c r="C16" i="1" l="1"/>
  <c r="D16" i="1" s="1"/>
  <c r="E16" i="1" s="1"/>
  <c r="B16" i="1"/>
</calcChain>
</file>

<file path=xl/sharedStrings.xml><?xml version="1.0" encoding="utf-8"?>
<sst xmlns="http://schemas.openxmlformats.org/spreadsheetml/2006/main" count="10" uniqueCount="10">
  <si>
    <t>Year</t>
  </si>
  <si>
    <t>Principal (INPUT AMT HERE)</t>
  </si>
  <si>
    <t>i/r p.a</t>
  </si>
  <si>
    <t>VALUE</t>
  </si>
  <si>
    <t>CASH VALUE</t>
  </si>
  <si>
    <t>ROI</t>
  </si>
  <si>
    <t>% (of principal)</t>
  </si>
  <si>
    <t>%(of principal,yearly)</t>
  </si>
  <si>
    <t>5 YEAR</t>
  </si>
  <si>
    <t>10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</si>
</sst>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4"/>
      <color theme="0"/>
      <name val="Arial"/>
      <charset val="134"/>
    </font>
    <font>
      <sz val="14"/>
      <color theme="1"/>
      <name val="Calibri"/>
      <charset val="134"/>
      <scheme val="minor"/>
    </font>
    <font>
      <sz val="14"/>
      <color theme="1"/>
      <name val="Arial"/>
      <charset val="134"/>
    </font>
    <font>
      <sz val="14"/>
      <color theme="0"/>
      <name val="Arial"/>
      <charset val="134"/>
    </font>
    <font>
      <sz val="11"/>
      <color theme="0"/>
      <name val="Calibri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  <bgColor theme="6"/>
      </patternFill>
    </fill>
    <fill>
      <patternFill patternType="solid">
        <fgColor theme="6"/>
        <bgColor indexed="64"/>
      </patternFill>
    </fill>
  </fills>
  <borders count="8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5" fillId="3" borderId="0" applyNumberFormat="0" applyBorder="0" applyAlignment="0" applyProtection="0"/>
  </cellStyleXfs>
  <cellXfs count="21">
    <xf numFmtId="0" fontId="0" fillId="0" borderId="0" xfId="0"/>
    <xf numFmtId="0" fontId="1" fillId="2" borderId="1" xfId="0" applyFont="1" applyFill="1" applyBorder="1" applyAlignment="1">
      <alignment wrapText="1"/>
    </xf>
    <xf numFmtId="0" fontId="1" fillId="2" borderId="2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right" wrapText="1"/>
    </xf>
    <xf numFmtId="0" fontId="1" fillId="2" borderId="3" xfId="0" applyFont="1" applyFill="1" applyBorder="1" applyAlignment="1">
      <alignment wrapText="1"/>
    </xf>
    <xf numFmtId="0" fontId="2" fillId="0" borderId="0" xfId="0" applyFont="1"/>
    <xf numFmtId="0" fontId="3" fillId="0" borderId="1" xfId="0" applyFont="1" applyBorder="1" applyAlignment="1">
      <alignment horizontal="right" wrapText="1"/>
    </xf>
    <xf numFmtId="0" fontId="3" fillId="0" borderId="3" xfId="0" applyFont="1" applyBorder="1" applyAlignment="1">
      <alignment wrapText="1"/>
    </xf>
    <xf numFmtId="0" fontId="3" fillId="0" borderId="4" xfId="0" applyFont="1" applyBorder="1" applyAlignment="1">
      <alignment horizontal="right" wrapText="1"/>
    </xf>
    <xf numFmtId="0" fontId="1" fillId="2" borderId="1" xfId="0" applyFont="1" applyFill="1" applyBorder="1"/>
    <xf numFmtId="0" fontId="1" fillId="3" borderId="2" xfId="1" applyFont="1" applyFill="1" applyBorder="1" applyAlignment="1">
      <alignment wrapText="1"/>
    </xf>
    <xf numFmtId="0" fontId="4" fillId="3" borderId="1" xfId="1" applyFont="1" applyFill="1" applyBorder="1"/>
    <xf numFmtId="0" fontId="3" fillId="0" borderId="2" xfId="0" applyFont="1" applyBorder="1"/>
    <xf numFmtId="0" fontId="3" fillId="0" borderId="3" xfId="0" applyFont="1" applyBorder="1"/>
    <xf numFmtId="0" fontId="4" fillId="3" borderId="4" xfId="1" applyFont="1" applyFill="1" applyBorder="1"/>
    <xf numFmtId="0" fontId="3" fillId="0" borderId="6" xfId="0" applyFont="1" applyBorder="1"/>
    <xf numFmtId="0" fontId="3" fillId="0" borderId="7" xfId="0" applyFont="1" applyBorder="1"/>
    <xf numFmtId="0" fontId="3" fillId="0" borderId="2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1" fillId="3" borderId="3" xfId="1" applyFont="1" applyFill="1" applyBorder="1" applyAlignment="1">
      <alignment wrapText="1"/>
    </xf>
  </cellXfs>
  <cellStyles count="2">
    <cellStyle name="Accent3" xfId="1" builtinId="37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r>
              <a:rPr lang="en-US">
                <a:latin typeface="Arial" panose="020B0604020202020204" pitchFamily="34" charset="0"/>
                <a:cs typeface="Arial" panose="020B0604020202020204" pitchFamily="34" charset="0"/>
              </a:rPr>
              <a:t>Money Value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value</c:v>
          </c:tx>
          <c:spPr>
            <a:solidFill>
              <a:schemeClr val="accent3">
                <a:lumMod val="50000"/>
              </a:schemeClr>
            </a:solidFill>
          </c:spPr>
          <c:invertIfNegative val="0"/>
          <c:cat>
            <c:numRef>
              <c:f>Main!$A$2:$A$12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Main!$D$2:$D$12</c:f>
              <c:numCache>
                <c:formatCode>General</c:formatCode>
                <c:ptCount val="11"/>
                <c:pt idx="0">
                  <c:v>50000</c:v>
                </c:pt>
                <c:pt idx="1">
                  <c:v>51925</c:v>
                </c:pt>
                <c:pt idx="2">
                  <c:v>53924.112499999996</c:v>
                </c:pt>
                <c:pt idx="3">
                  <c:v>56000.190831249995</c:v>
                </c:pt>
                <c:pt idx="4">
                  <c:v>58156.198178253115</c:v>
                </c:pt>
                <c:pt idx="5">
                  <c:v>60976.773789898391</c:v>
                </c:pt>
                <c:pt idx="6">
                  <c:v>63934.147318708463</c:v>
                </c:pt>
                <c:pt idx="7">
                  <c:v>67034.953463665821</c:v>
                </c:pt>
                <c:pt idx="8">
                  <c:v>70286.148706653606</c:v>
                </c:pt>
                <c:pt idx="9">
                  <c:v>73695.026918926305</c:v>
                </c:pt>
                <c:pt idx="10">
                  <c:v>77269.235724494225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9944704"/>
        <c:axId val="306890432"/>
      </c:barChart>
      <c:catAx>
        <c:axId val="279944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Years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306890432"/>
        <c:crosses val="autoZero"/>
        <c:auto val="1"/>
        <c:lblAlgn val="ctr"/>
        <c:lblOffset val="100"/>
        <c:noMultiLvlLbl val="0"/>
      </c:catAx>
      <c:valAx>
        <c:axId val="30689043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2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r>
                  <a:rPr lang="en-US" sz="1200">
                    <a:latin typeface="Arial" panose="020B0604020202020204" pitchFamily="34" charset="0"/>
                    <a:cs typeface="Arial" panose="020B0604020202020204" pitchFamily="34" charset="0"/>
                  </a:rPr>
                  <a:t>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799447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95250</xdr:rowOff>
        </xdr:from>
        <xdr:to>
          <xdr:col>1</xdr:col>
          <xdr:colOff>1247775</xdr:colOff>
          <xdr:row>4</xdr:row>
          <xdr:rowOff>9525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271462</xdr:colOff>
      <xdr:row>0</xdr:row>
      <xdr:rowOff>657225</xdr:rowOff>
    </xdr:from>
    <xdr:to>
      <xdr:col>9</xdr:col>
      <xdr:colOff>566737</xdr:colOff>
      <xdr:row>12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6"/>
  <sheetViews>
    <sheetView tabSelected="1" workbookViewId="0">
      <selection activeCell="B2" sqref="B2:B12"/>
    </sheetView>
  </sheetViews>
  <sheetFormatPr defaultColWidth="9" defaultRowHeight="15"/>
  <cols>
    <col min="1" max="1" width="14" customWidth="1"/>
    <col min="2" max="2" width="20.42578125" customWidth="1"/>
    <col min="3" max="3" width="18.85546875" customWidth="1"/>
    <col min="4" max="4" width="18.85546875" bestFit="1" customWidth="1"/>
    <col min="5" max="5" width="22.42578125" customWidth="1"/>
  </cols>
  <sheetData>
    <row r="1" spans="1:5" ht="54">
      <c r="A1" s="1" t="s">
        <v>0</v>
      </c>
      <c r="B1" s="2" t="s">
        <v>1</v>
      </c>
      <c r="C1" s="3" t="s">
        <v>2</v>
      </c>
      <c r="D1" s="4" t="s">
        <v>3</v>
      </c>
      <c r="E1" s="5"/>
    </row>
    <row r="2" spans="1:5" ht="18.75">
      <c r="A2" s="6">
        <v>0</v>
      </c>
      <c r="B2" s="17">
        <v>50000</v>
      </c>
      <c r="C2" s="17">
        <v>1.0385</v>
      </c>
      <c r="D2" s="7">
        <f>B2</f>
        <v>50000</v>
      </c>
      <c r="E2" s="5"/>
    </row>
    <row r="3" spans="1:5" ht="18.75">
      <c r="A3" s="6">
        <v>1</v>
      </c>
      <c r="B3" s="18"/>
      <c r="C3" s="18"/>
      <c r="D3" s="7">
        <f>D2*$C$2</f>
        <v>51925</v>
      </c>
      <c r="E3" s="5"/>
    </row>
    <row r="4" spans="1:5" ht="18.75">
      <c r="A4" s="6">
        <v>2</v>
      </c>
      <c r="B4" s="18"/>
      <c r="C4" s="18"/>
      <c r="D4" s="7">
        <f t="shared" ref="D4:D7" si="0">D3*$C$2</f>
        <v>53924.112499999996</v>
      </c>
      <c r="E4" s="5"/>
    </row>
    <row r="5" spans="1:5" ht="18.75">
      <c r="A5" s="6">
        <v>3</v>
      </c>
      <c r="B5" s="18"/>
      <c r="C5" s="18"/>
      <c r="D5" s="7">
        <f t="shared" si="0"/>
        <v>56000.190831249995</v>
      </c>
      <c r="E5" s="5"/>
    </row>
    <row r="6" spans="1:5" ht="18.75">
      <c r="A6" s="6">
        <v>4</v>
      </c>
      <c r="B6" s="18"/>
      <c r="C6" s="19"/>
      <c r="D6" s="7">
        <f>D5*$C$2</f>
        <v>58156.198178253115</v>
      </c>
      <c r="E6" s="5"/>
    </row>
    <row r="7" spans="1:5" ht="18.75">
      <c r="A7" s="6">
        <v>5</v>
      </c>
      <c r="B7" s="18"/>
      <c r="C7" s="17">
        <v>1.0485</v>
      </c>
      <c r="D7" s="7">
        <f>D6*$C$7</f>
        <v>60976.773789898391</v>
      </c>
      <c r="E7" s="5"/>
    </row>
    <row r="8" spans="1:5" ht="18.75">
      <c r="A8" s="6">
        <v>6</v>
      </c>
      <c r="B8" s="18"/>
      <c r="C8" s="18"/>
      <c r="D8" s="7">
        <f t="shared" ref="D8:D12" si="1">D7*$C$7</f>
        <v>63934.147318708463</v>
      </c>
      <c r="E8" s="5"/>
    </row>
    <row r="9" spans="1:5" ht="18.75">
      <c r="A9" s="6">
        <v>7</v>
      </c>
      <c r="B9" s="18"/>
      <c r="C9" s="18"/>
      <c r="D9" s="7">
        <f t="shared" si="1"/>
        <v>67034.953463665821</v>
      </c>
      <c r="E9" s="5"/>
    </row>
    <row r="10" spans="1:5" ht="18.75">
      <c r="A10" s="6">
        <v>8</v>
      </c>
      <c r="B10" s="18"/>
      <c r="C10" s="18"/>
      <c r="D10" s="7">
        <f t="shared" si="1"/>
        <v>70286.148706653606</v>
      </c>
      <c r="E10" s="5"/>
    </row>
    <row r="11" spans="1:5" ht="18.75">
      <c r="A11" s="6">
        <v>9</v>
      </c>
      <c r="B11" s="18"/>
      <c r="C11" s="18"/>
      <c r="D11" s="7">
        <f t="shared" si="1"/>
        <v>73695.026918926305</v>
      </c>
      <c r="E11" s="5"/>
    </row>
    <row r="12" spans="1:5" ht="18.75">
      <c r="A12" s="8">
        <v>10</v>
      </c>
      <c r="B12" s="19"/>
      <c r="C12" s="19"/>
      <c r="D12" s="7">
        <f t="shared" si="1"/>
        <v>77269.235724494225</v>
      </c>
      <c r="E12" s="5"/>
    </row>
    <row r="13" spans="1:5" ht="18.75">
      <c r="A13" s="5"/>
      <c r="B13" s="5"/>
      <c r="C13" s="5"/>
      <c r="D13" s="5"/>
      <c r="E13" s="5"/>
    </row>
    <row r="14" spans="1:5" ht="54">
      <c r="A14" s="9"/>
      <c r="B14" s="10" t="s">
        <v>4</v>
      </c>
      <c r="C14" s="10" t="s">
        <v>5</v>
      </c>
      <c r="D14" s="10" t="s">
        <v>6</v>
      </c>
      <c r="E14" s="20" t="s">
        <v>7</v>
      </c>
    </row>
    <row r="15" spans="1:5" ht="18">
      <c r="A15" s="11" t="s">
        <v>8</v>
      </c>
      <c r="B15" s="12">
        <f>D7</f>
        <v>60976.773789898391</v>
      </c>
      <c r="C15" s="12">
        <f>D7-D2</f>
        <v>10976.773789898391</v>
      </c>
      <c r="D15" s="12">
        <f>(C15/B2)*100</f>
        <v>21.95354757979678</v>
      </c>
      <c r="E15" s="13">
        <f>D15/5</f>
        <v>4.3907095159593563</v>
      </c>
    </row>
    <row r="16" spans="1:5" ht="18">
      <c r="A16" s="14" t="s">
        <v>9</v>
      </c>
      <c r="B16" s="15">
        <f>D12</f>
        <v>77269.235724494225</v>
      </c>
      <c r="C16" s="15">
        <f>D12-D2</f>
        <v>27269.235724494225</v>
      </c>
      <c r="D16" s="15">
        <f>(C16/B2)*100</f>
        <v>54.538471448988446</v>
      </c>
      <c r="E16" s="16">
        <f>D16/10</f>
        <v>5.4538471448988446</v>
      </c>
    </row>
  </sheetData>
  <mergeCells count="3">
    <mergeCell ref="B2:B12"/>
    <mergeCell ref="C2:C6"/>
    <mergeCell ref="C7:C1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133350</xdr:colOff>
                <xdr:row>2</xdr:row>
                <xdr:rowOff>95250</xdr:rowOff>
              </from>
              <to>
                <xdr:col>1</xdr:col>
                <xdr:colOff>1247775</xdr:colOff>
                <xdr:row>4</xdr:row>
                <xdr:rowOff>9525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Weifeng</dc:creator>
  <cp:lastModifiedBy>user</cp:lastModifiedBy>
  <dcterms:created xsi:type="dcterms:W3CDTF">2006-09-16T00:00:00Z</dcterms:created>
  <dcterms:modified xsi:type="dcterms:W3CDTF">2019-07-14T09:41:03Z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1033-11.2.0.8641</vt:lpwstr>
  </property>
</Properties>
</file>